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uno_OUT_25" sheetId="1" r:id="rId4"/>
  </sheets>
  <definedNames/>
  <calcPr/>
  <extLst>
    <ext uri="GoogleSheetsCustomDataVersion2">
      <go:sheetsCustomData xmlns:go="http://customooxmlschemas.google.com/" r:id="rId5" roundtripDataChecksum="aem3hhpNGcipyCCl3HIv9gKBzgvc3H8TKKOuJwpzYd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======
ID#AAABc3OUFAU
Seven    (2025-01-29 18:19:28)
Esta Secção a "verde" é preenchida apenas para as ajudas de custo</t>
      </text>
    </comment>
  </commentList>
  <extLst>
    <ext uri="GoogleSheetsCustomDataVersion2">
      <go:sheetsCustomData xmlns:go="http://customooxmlschemas.google.com/" r:id="rId1" roundtripDataSignature="AMtx7mhnh/t5knGZKRiNedXuc4s8fGgKDQ=="/>
    </ext>
  </extLst>
</comments>
</file>

<file path=xl/sharedStrings.xml><?xml version="1.0" encoding="utf-8"?>
<sst xmlns="http://schemas.openxmlformats.org/spreadsheetml/2006/main" count="91" uniqueCount="55">
  <si>
    <t>BOLETIM ITINERÁRIO</t>
  </si>
  <si>
    <t>Nome do Funcionário:</t>
  </si>
  <si>
    <t>Bruno Miguel Carvalho Amaral</t>
  </si>
  <si>
    <t>Categoria:</t>
  </si>
  <si>
    <t>Gerente</t>
  </si>
  <si>
    <t>Contribuinte:</t>
  </si>
  <si>
    <t>Matrícula:</t>
  </si>
  <si>
    <t>79-RI-12</t>
  </si>
  <si>
    <t>Val.Dia Aj.Custo(Nacionais):</t>
  </si>
  <si>
    <t xml:space="preserve">Mês : </t>
  </si>
  <si>
    <t>Outubro</t>
  </si>
  <si>
    <t>Val.Dia Aj.Custo(Estrang):</t>
  </si>
  <si>
    <t>Ano:</t>
  </si>
  <si>
    <t>Val.Km:</t>
  </si>
  <si>
    <t>Dias do Mês</t>
  </si>
  <si>
    <t>Serviço Efectuado na Deslocação</t>
  </si>
  <si>
    <t>Localidade(s) onde foi prestado</t>
  </si>
  <si>
    <t>Inicio ou continuação do serviço</t>
  </si>
  <si>
    <t>Regresso</t>
  </si>
  <si>
    <t>Port./ CEE (N/E)</t>
  </si>
  <si>
    <t>Dias</t>
  </si>
  <si>
    <t>Kms.</t>
  </si>
  <si>
    <t>Dia</t>
  </si>
  <si>
    <t>Hora</t>
  </si>
  <si>
    <t>vMix Novobanco</t>
  </si>
  <si>
    <t>Aguieira</t>
  </si>
  <si>
    <t>N</t>
  </si>
  <si>
    <t>GS1 Copenhaga</t>
  </si>
  <si>
    <t>Copenhaga</t>
  </si>
  <si>
    <t>E</t>
  </si>
  <si>
    <t>Realização GCTV (Rome)</t>
  </si>
  <si>
    <t>Lisboa</t>
  </si>
  <si>
    <t>0,5</t>
  </si>
  <si>
    <t>Expresso NOS</t>
  </si>
  <si>
    <t>Realização GCTV (Rabat)</t>
  </si>
  <si>
    <t>Streaming Europalco</t>
  </si>
  <si>
    <t xml:space="preserve">Streaming Tomra </t>
  </si>
  <si>
    <t>Ericeira</t>
  </si>
  <si>
    <t>Realização GCTV (Riade)</t>
  </si>
  <si>
    <t>Resumo Mensal</t>
  </si>
  <si>
    <t>Ajudas de custo:</t>
  </si>
  <si>
    <t>Val. Dia</t>
  </si>
  <si>
    <t>Val. Total</t>
  </si>
  <si>
    <t>Nacionais:</t>
  </si>
  <si>
    <t>Estrangeiro:</t>
  </si>
  <si>
    <t>Km Perc.Viat.Prop.</t>
  </si>
  <si>
    <t>Km</t>
  </si>
  <si>
    <t>Val./ Km</t>
  </si>
  <si>
    <t>Refeições e outras despesas documentadas</t>
  </si>
  <si>
    <t>Total a Pagar ao Funcionário</t>
  </si>
  <si>
    <t>Recebi a importância de:</t>
  </si>
  <si>
    <t>Dois mil, trezentos e trinta e dois euros e setenta cêntimos</t>
  </si>
  <si>
    <t>Relativa às ajudas de custo e outras importâncias acima mencinadas</t>
  </si>
  <si>
    <t>Peniche, 29 de Janeiro de 2025</t>
  </si>
  <si>
    <t>O Funcionário                                                     Autorizado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</si>
</sst>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00,000,000"/>
    <numFmt numFmtId="165" formatCode="_-* #,##0.00\ [$€-1]_-;\-* #,##0.00\ [$€-1]_-;_-* &quot;-&quot;??\ [$€-1]"/>
    <numFmt numFmtId="166" formatCode="#,##0\ &quot;€&quot;;[Red]\-#,##0\ &quot;€&quot;"/>
    <numFmt numFmtId="167" formatCode="_-* #,##0.00\ [$€-1]_-;\-* #,##0.00\ [$€-1]_-;_-* &quot;-&quot;??\ [$€-1]_-;_-@"/>
  </numFmts>
  <fonts count="10">
    <font>
      <sz val="10.0"/>
      <color rgb="FF000000"/>
      <name val="Arial"/>
      <scheme val="minor"/>
    </font>
    <font>
      <b/>
      <u/>
      <sz val="10.0"/>
      <color theme="1"/>
      <name val="Arial"/>
    </font>
    <font>
      <color theme="1"/>
      <name val="Arial"/>
    </font>
    <font>
      <b/>
      <sz val="10.0"/>
      <color theme="1"/>
      <name val="Arial"/>
    </font>
    <font/>
    <font>
      <sz val="10.0"/>
      <color theme="1"/>
      <name val="Arial"/>
    </font>
    <font>
      <sz val="9.0"/>
      <color theme="1"/>
      <name val="Arial"/>
    </font>
    <font>
      <sz val="8.0"/>
      <color theme="1"/>
      <name val="Arial"/>
    </font>
    <font>
      <b/>
      <sz val="9.0"/>
      <color theme="1"/>
      <name val="Arial"/>
    </font>
    <font>
      <b/>
      <i/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AEAEA"/>
        <bgColor rgb="FFEAEAEA"/>
      </patternFill>
    </fill>
    <fill>
      <patternFill patternType="solid">
        <fgColor rgb="FFEAF1DD"/>
        <bgColor rgb="FFEAF1DD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0" fontId="3" numFmtId="0" xfId="0" applyAlignment="1" applyBorder="1" applyFont="1">
      <alignment horizontal="left"/>
    </xf>
    <xf borderId="2" fillId="0" fontId="4" numFmtId="0" xfId="0" applyBorder="1" applyFont="1"/>
    <xf borderId="3" fillId="0" fontId="4" numFmtId="0" xfId="0" applyBorder="1" applyFont="1"/>
    <xf borderId="1" fillId="0" fontId="5" numFmtId="0" xfId="0" applyAlignment="1" applyBorder="1" applyFont="1">
      <alignment horizontal="left"/>
    </xf>
    <xf borderId="0" fillId="0" fontId="5" numFmtId="0" xfId="0" applyAlignment="1" applyFont="1">
      <alignment horizontal="right"/>
    </xf>
    <xf borderId="1" fillId="0" fontId="5" numFmtId="164" xfId="0" applyAlignment="1" applyBorder="1" applyFont="1" applyNumberFormat="1">
      <alignment horizontal="center"/>
    </xf>
    <xf borderId="0" fillId="0" fontId="5" numFmtId="0" xfId="0" applyAlignment="1" applyFont="1">
      <alignment horizontal="center"/>
    </xf>
    <xf borderId="0" fillId="0" fontId="6" numFmtId="165" xfId="0" applyAlignment="1" applyFont="1" applyNumberFormat="1">
      <alignment horizontal="center"/>
    </xf>
    <xf borderId="4" fillId="2" fontId="5" numFmtId="0" xfId="0" applyBorder="1" applyFill="1" applyFont="1"/>
    <xf borderId="0" fillId="0" fontId="6" numFmtId="0" xfId="0" applyAlignment="1" applyFont="1">
      <alignment horizontal="right"/>
    </xf>
    <xf borderId="5" fillId="3" fontId="7" numFmtId="165" xfId="0" applyAlignment="1" applyBorder="1" applyFill="1" applyFont="1" applyNumberFormat="1">
      <alignment horizontal="center"/>
    </xf>
    <xf borderId="0" fillId="0" fontId="6" numFmtId="0" xfId="0" applyAlignment="1" applyFont="1">
      <alignment horizontal="center"/>
    </xf>
    <xf borderId="5" fillId="0" fontId="5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/>
    </xf>
    <xf borderId="6" fillId="3" fontId="3" numFmtId="0" xfId="0" applyAlignment="1" applyBorder="1" applyFont="1">
      <alignment horizontal="center" shrinkToFit="0" vertical="center" wrapText="1"/>
    </xf>
    <xf borderId="7" fillId="3" fontId="3" numFmtId="0" xfId="0" applyAlignment="1" applyBorder="1" applyFont="1">
      <alignment horizontal="center" shrinkToFit="0" vertical="center" wrapText="1"/>
    </xf>
    <xf borderId="8" fillId="0" fontId="4" numFmtId="0" xfId="0" applyBorder="1" applyFont="1"/>
    <xf borderId="1" fillId="4" fontId="3" numFmtId="0" xfId="0" applyAlignment="1" applyBorder="1" applyFill="1" applyFont="1">
      <alignment horizontal="center" shrinkToFit="0" vertical="center" wrapText="1"/>
    </xf>
    <xf borderId="6" fillId="4" fontId="3" numFmtId="0" xfId="0" applyAlignment="1" applyBorder="1" applyFont="1">
      <alignment horizontal="center" shrinkToFit="0" vertical="center" wrapText="1"/>
    </xf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5" fillId="4" fontId="3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left" readingOrder="0" shrinkToFit="1" vertical="center" wrapText="0"/>
    </xf>
    <xf borderId="5" fillId="0" fontId="6" numFmtId="0" xfId="0" applyAlignment="1" applyBorder="1" applyFont="1">
      <alignment horizontal="center" readingOrder="0" shrinkToFit="0" vertical="center" wrapText="1"/>
    </xf>
    <xf borderId="5" fillId="4" fontId="6" numFmtId="0" xfId="0" applyAlignment="1" applyBorder="1" applyFont="1">
      <alignment horizontal="center" readingOrder="0" vertical="center"/>
    </xf>
    <xf borderId="5" fillId="4" fontId="6" numFmtId="21" xfId="0" applyAlignment="1" applyBorder="1" applyFont="1" applyNumberFormat="1">
      <alignment horizontal="center" readingOrder="0" vertical="center"/>
    </xf>
    <xf borderId="5" fillId="0" fontId="6" numFmtId="2" xfId="0" applyAlignment="1" applyBorder="1" applyFont="1" applyNumberFormat="1">
      <alignment horizontal="center" readingOrder="0" vertical="center"/>
    </xf>
    <xf borderId="5" fillId="4" fontId="6" numFmtId="46" xfId="0" applyAlignment="1" applyBorder="1" applyFont="1" applyNumberFormat="1">
      <alignment horizontal="center" vertical="center"/>
    </xf>
    <xf borderId="5" fillId="0" fontId="6" numFmtId="0" xfId="0" applyAlignment="1" applyBorder="1" applyFont="1">
      <alignment horizontal="center" shrinkToFit="0" vertical="center" wrapText="1"/>
    </xf>
    <xf borderId="5" fillId="4" fontId="6" numFmtId="0" xfId="0" applyAlignment="1" applyBorder="1" applyFont="1">
      <alignment horizontal="center" vertical="center"/>
    </xf>
    <xf borderId="5" fillId="0" fontId="6" numFmtId="2" xfId="0" applyAlignment="1" applyBorder="1" applyFont="1" applyNumberFormat="1">
      <alignment horizontal="center" vertical="center"/>
    </xf>
    <xf borderId="5" fillId="4" fontId="6" numFmtId="46" xfId="0" applyAlignment="1" applyBorder="1" applyFont="1" applyNumberFormat="1">
      <alignment horizontal="center" readingOrder="0" vertical="center"/>
    </xf>
    <xf borderId="0" fillId="0" fontId="6" numFmtId="0" xfId="0" applyFont="1"/>
    <xf borderId="0" fillId="0" fontId="6" numFmtId="0" xfId="0" applyAlignment="1" applyFont="1">
      <alignment horizontal="center" shrinkToFit="1" vertical="center" wrapText="0"/>
    </xf>
    <xf borderId="0" fillId="0" fontId="6" numFmtId="0" xfId="0" applyAlignment="1" applyFont="1">
      <alignment horizontal="center" shrinkToFit="0" vertical="center" wrapText="1"/>
    </xf>
    <xf borderId="12" fillId="0" fontId="3" numFmtId="0" xfId="0" applyAlignment="1" applyBorder="1" applyFont="1">
      <alignment horizontal="center"/>
    </xf>
    <xf borderId="12" fillId="0" fontId="4" numFmtId="0" xfId="0" applyBorder="1" applyFont="1"/>
    <xf borderId="0" fillId="0" fontId="3" numFmtId="0" xfId="0" applyAlignment="1" applyFont="1">
      <alignment horizontal="center"/>
    </xf>
    <xf borderId="5" fillId="3" fontId="3" numFmtId="0" xfId="0" applyAlignment="1" applyBorder="1" applyFont="1">
      <alignment horizontal="center"/>
    </xf>
    <xf borderId="5" fillId="3" fontId="8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horizontal="center"/>
    </xf>
    <xf borderId="6" fillId="0" fontId="5" numFmtId="0" xfId="0" applyAlignment="1" applyBorder="1" applyFont="1">
      <alignment horizontal="center"/>
    </xf>
    <xf borderId="1" fillId="0" fontId="5" numFmtId="165" xfId="0" applyAlignment="1" applyBorder="1" applyFont="1" applyNumberFormat="1">
      <alignment horizontal="center"/>
    </xf>
    <xf borderId="1" fillId="3" fontId="3" numFmtId="165" xfId="0" applyAlignment="1" applyBorder="1" applyFont="1" applyNumberFormat="1">
      <alignment horizontal="center"/>
    </xf>
    <xf borderId="6" fillId="3" fontId="3" numFmtId="0" xfId="0" applyAlignment="1" applyBorder="1" applyFont="1">
      <alignment horizontal="center" vertical="center"/>
    </xf>
    <xf borderId="5" fillId="0" fontId="5" numFmtId="2" xfId="0" applyAlignment="1" applyBorder="1" applyFont="1" applyNumberFormat="1">
      <alignment horizontal="center"/>
    </xf>
    <xf borderId="0" fillId="0" fontId="3" numFmtId="166" xfId="0" applyAlignment="1" applyFont="1" applyNumberFormat="1">
      <alignment horizontal="center"/>
    </xf>
    <xf borderId="0" fillId="0" fontId="3" numFmtId="167" xfId="0" applyAlignment="1" applyFont="1" applyNumberFormat="1">
      <alignment horizontal="center"/>
    </xf>
    <xf borderId="0" fillId="0" fontId="9" numFmtId="0" xfId="0" applyAlignment="1" applyFont="1">
      <alignment horizontal="right"/>
    </xf>
    <xf borderId="1" fillId="0" fontId="5" numFmtId="0" xfId="0" applyAlignment="1" applyBorder="1" applyFont="1">
      <alignment horizontal="left" readingOrder="0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1343025</xdr:colOff>
      <xdr:row>41</xdr:row>
      <xdr:rowOff>0</xdr:rowOff>
    </xdr:from>
    <xdr:ext cx="2676525" cy="257175"/>
    <xdr:sp>
      <xdr:nvSpPr>
        <xdr:cNvPr id="3" name="Shape 3"/>
        <xdr:cNvSpPr txBox="1"/>
      </xdr:nvSpPr>
      <xdr:spPr>
        <a:xfrm>
          <a:off x="4012500" y="3656175"/>
          <a:ext cx="2667000" cy="2476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Arial"/>
            <a:buNone/>
          </a:pPr>
          <a:r>
            <a:rPr b="1" i="0" lang="en-US" sz="110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RECIBO</a:t>
          </a:r>
          <a:endParaRPr sz="1400"/>
        </a:p>
        <a:p>
          <a:pPr indent="0" lvl="0" marL="0" rtl="0" algn="ctr">
            <a:lnSpc>
              <a:spcPct val="81818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1" i="0" sz="1100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</xdr:col>
      <xdr:colOff>0</xdr:colOff>
      <xdr:row>51</xdr:row>
      <xdr:rowOff>0</xdr:rowOff>
    </xdr:from>
    <xdr:ext cx="561975" cy="561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51</xdr:row>
      <xdr:rowOff>0</xdr:rowOff>
    </xdr:from>
    <xdr:ext cx="561975" cy="561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9.5"/>
    <col customWidth="1" min="2" max="2" width="11.13"/>
    <col customWidth="1" min="3" max="3" width="31.13"/>
    <col customWidth="1" min="4" max="4" width="15.88"/>
    <col customWidth="1" min="5" max="5" width="4.88"/>
    <col customWidth="1" min="6" max="6" width="10.5"/>
    <col customWidth="1" min="7" max="7" width="4.5"/>
    <col customWidth="1" min="8" max="8" width="7.88"/>
    <col customWidth="1" min="9" max="9" width="6.88"/>
    <col customWidth="1" min="10" max="10" width="11.25"/>
    <col customWidth="1" min="11" max="11" width="6.75"/>
    <col customWidth="1" min="12" max="26" width="8.88"/>
  </cols>
  <sheetData>
    <row r="1" ht="12.0" customHeight="1">
      <c r="A1" s="1" t="s">
        <v>0</v>
      </c>
    </row>
    <row r="2" ht="12.0" customHeight="1"/>
    <row r="3" ht="12.0" customHeight="1">
      <c r="A3" s="2" t="s">
        <v>1</v>
      </c>
      <c r="C3" s="3" t="s">
        <v>2</v>
      </c>
      <c r="D3" s="4"/>
      <c r="E3" s="4"/>
      <c r="F3" s="4"/>
      <c r="G3" s="4"/>
      <c r="H3" s="4"/>
      <c r="I3" s="4"/>
      <c r="J3" s="4"/>
      <c r="K3" s="5"/>
    </row>
    <row r="4" ht="12.0" customHeight="1"/>
    <row r="5" ht="12.0" customHeight="1">
      <c r="A5" s="2" t="s">
        <v>3</v>
      </c>
      <c r="B5" s="6" t="s">
        <v>4</v>
      </c>
      <c r="C5" s="5"/>
      <c r="D5" s="7" t="s">
        <v>5</v>
      </c>
      <c r="E5" s="8">
        <v>2.20852502E8</v>
      </c>
      <c r="F5" s="5"/>
      <c r="H5" s="9"/>
      <c r="I5" s="10"/>
      <c r="J5" s="10"/>
      <c r="K5" s="10"/>
    </row>
    <row r="6" ht="15.75" customHeight="1">
      <c r="D6" s="7" t="s">
        <v>6</v>
      </c>
      <c r="E6" s="11" t="s">
        <v>7</v>
      </c>
      <c r="F6" s="11"/>
      <c r="I6" s="12" t="s">
        <v>8</v>
      </c>
      <c r="J6" s="13">
        <v>72.65</v>
      </c>
      <c r="K6" s="14"/>
    </row>
    <row r="7" ht="12.0" customHeight="1">
      <c r="A7" s="2" t="s">
        <v>9</v>
      </c>
      <c r="B7" s="15" t="s">
        <v>10</v>
      </c>
      <c r="I7" s="12" t="s">
        <v>11</v>
      </c>
      <c r="J7" s="13">
        <v>167.07</v>
      </c>
      <c r="K7" s="10"/>
    </row>
    <row r="8" ht="12.0" customHeight="1">
      <c r="A8" s="2" t="s">
        <v>12</v>
      </c>
      <c r="B8" s="16">
        <v>2025.0</v>
      </c>
      <c r="I8" s="7" t="s">
        <v>13</v>
      </c>
      <c r="J8" s="13">
        <v>0.4</v>
      </c>
    </row>
    <row r="9" ht="5.25" customHeight="1"/>
    <row r="10" ht="40.5" customHeight="1">
      <c r="A10" s="17" t="s">
        <v>14</v>
      </c>
      <c r="B10" s="18" t="s">
        <v>15</v>
      </c>
      <c r="C10" s="19"/>
      <c r="D10" s="17" t="s">
        <v>16</v>
      </c>
      <c r="E10" s="20" t="s">
        <v>17</v>
      </c>
      <c r="F10" s="5"/>
      <c r="G10" s="20" t="s">
        <v>18</v>
      </c>
      <c r="H10" s="5"/>
      <c r="I10" s="21" t="s">
        <v>19</v>
      </c>
      <c r="J10" s="21" t="s">
        <v>20</v>
      </c>
      <c r="K10" s="17" t="s">
        <v>21</v>
      </c>
    </row>
    <row r="11" ht="12.0" customHeight="1">
      <c r="A11" s="22"/>
      <c r="B11" s="23"/>
      <c r="C11" s="24"/>
      <c r="D11" s="22"/>
      <c r="E11" s="25" t="s">
        <v>22</v>
      </c>
      <c r="F11" s="25" t="s">
        <v>23</v>
      </c>
      <c r="G11" s="25" t="s">
        <v>22</v>
      </c>
      <c r="H11" s="25" t="s">
        <v>23</v>
      </c>
      <c r="I11" s="22"/>
      <c r="J11" s="22"/>
      <c r="K11" s="22"/>
    </row>
    <row r="12" ht="12.0" customHeight="1">
      <c r="A12" s="26">
        <v>2.0</v>
      </c>
      <c r="B12" s="27" t="s">
        <v>24</v>
      </c>
      <c r="C12" s="5"/>
      <c r="D12" s="28" t="s">
        <v>25</v>
      </c>
      <c r="E12" s="29">
        <v>2.0</v>
      </c>
      <c r="F12" s="30">
        <v>0.3333333333333333</v>
      </c>
      <c r="G12" s="29">
        <v>3.0</v>
      </c>
      <c r="H12" s="30">
        <v>0.75</v>
      </c>
      <c r="I12" s="29" t="s">
        <v>26</v>
      </c>
      <c r="J12" s="29">
        <v>0.0</v>
      </c>
      <c r="K12" s="31">
        <v>400.0</v>
      </c>
    </row>
    <row r="13" ht="12.0" customHeight="1">
      <c r="A13" s="26">
        <v>6.0</v>
      </c>
      <c r="B13" s="27" t="s">
        <v>27</v>
      </c>
      <c r="C13" s="5"/>
      <c r="D13" s="28" t="s">
        <v>28</v>
      </c>
      <c r="E13" s="29">
        <v>4.0</v>
      </c>
      <c r="F13" s="30">
        <v>0.125</v>
      </c>
      <c r="G13" s="29">
        <v>9.0</v>
      </c>
      <c r="H13" s="32">
        <v>0.75</v>
      </c>
      <c r="I13" s="29" t="s">
        <v>29</v>
      </c>
      <c r="J13" s="29">
        <v>6.0</v>
      </c>
      <c r="K13" s="31">
        <v>196.0</v>
      </c>
    </row>
    <row r="14" ht="14.25" customHeight="1">
      <c r="A14" s="26">
        <v>1.0</v>
      </c>
      <c r="B14" s="27" t="s">
        <v>30</v>
      </c>
      <c r="C14" s="5"/>
      <c r="D14" s="33" t="s">
        <v>31</v>
      </c>
      <c r="E14" s="29">
        <v>10.0</v>
      </c>
      <c r="F14" s="32">
        <v>0.3333333333333333</v>
      </c>
      <c r="G14" s="29">
        <v>10.0</v>
      </c>
      <c r="H14" s="32">
        <v>0.75</v>
      </c>
      <c r="I14" s="34" t="s">
        <v>26</v>
      </c>
      <c r="J14" s="29" t="s">
        <v>32</v>
      </c>
      <c r="K14" s="31">
        <v>206.0</v>
      </c>
    </row>
    <row r="15" ht="14.25" customHeight="1">
      <c r="A15" s="26">
        <v>1.0</v>
      </c>
      <c r="B15" s="27" t="s">
        <v>30</v>
      </c>
      <c r="C15" s="5"/>
      <c r="D15" s="33" t="s">
        <v>31</v>
      </c>
      <c r="E15" s="29">
        <v>11.0</v>
      </c>
      <c r="F15" s="32">
        <v>0.3333333333333333</v>
      </c>
      <c r="G15" s="29">
        <v>11.0</v>
      </c>
      <c r="H15" s="32">
        <v>0.75</v>
      </c>
      <c r="I15" s="34" t="s">
        <v>26</v>
      </c>
      <c r="J15" s="34">
        <v>0.5</v>
      </c>
      <c r="K15" s="35">
        <v>206.0</v>
      </c>
    </row>
    <row r="16" ht="14.25" customHeight="1">
      <c r="A16" s="26">
        <v>1.0</v>
      </c>
      <c r="B16" s="27" t="s">
        <v>30</v>
      </c>
      <c r="C16" s="5"/>
      <c r="D16" s="33" t="s">
        <v>31</v>
      </c>
      <c r="E16" s="29">
        <v>12.0</v>
      </c>
      <c r="F16" s="32">
        <v>0.3333333333333333</v>
      </c>
      <c r="G16" s="29">
        <v>12.0</v>
      </c>
      <c r="H16" s="32">
        <v>0.8333333333333334</v>
      </c>
      <c r="I16" s="34" t="s">
        <v>26</v>
      </c>
      <c r="J16" s="34">
        <v>0.5</v>
      </c>
      <c r="K16" s="35">
        <v>206.0</v>
      </c>
    </row>
    <row r="17" ht="14.25" customHeight="1">
      <c r="A17" s="26">
        <v>1.0</v>
      </c>
      <c r="B17" s="27" t="s">
        <v>33</v>
      </c>
      <c r="C17" s="5"/>
      <c r="D17" s="33" t="s">
        <v>31</v>
      </c>
      <c r="E17" s="29">
        <v>16.0</v>
      </c>
      <c r="F17" s="30">
        <v>0.5833333333333334</v>
      </c>
      <c r="G17" s="29">
        <v>16.0</v>
      </c>
      <c r="H17" s="36">
        <v>0.8333333333333334</v>
      </c>
      <c r="I17" s="34" t="s">
        <v>26</v>
      </c>
      <c r="J17" s="29">
        <v>0.0</v>
      </c>
      <c r="K17" s="31">
        <v>200.0</v>
      </c>
    </row>
    <row r="18" ht="14.25" customHeight="1">
      <c r="A18" s="26">
        <v>1.0</v>
      </c>
      <c r="B18" s="27" t="s">
        <v>34</v>
      </c>
      <c r="C18" s="5"/>
      <c r="D18" s="33" t="s">
        <v>31</v>
      </c>
      <c r="E18" s="29">
        <v>17.0</v>
      </c>
      <c r="F18" s="36">
        <v>0.4583333333333333</v>
      </c>
      <c r="G18" s="29">
        <v>17.0</v>
      </c>
      <c r="H18" s="36">
        <v>0.9583333333333334</v>
      </c>
      <c r="I18" s="34" t="s">
        <v>26</v>
      </c>
      <c r="J18" s="34">
        <v>0.5</v>
      </c>
      <c r="K18" s="35">
        <v>206.0</v>
      </c>
    </row>
    <row r="19" ht="14.25" customHeight="1">
      <c r="A19" s="26">
        <v>1.0</v>
      </c>
      <c r="B19" s="27" t="s">
        <v>34</v>
      </c>
      <c r="C19" s="5"/>
      <c r="D19" s="33" t="s">
        <v>31</v>
      </c>
      <c r="E19" s="29">
        <v>18.0</v>
      </c>
      <c r="F19" s="36">
        <v>0.4583333333333333</v>
      </c>
      <c r="G19" s="29">
        <v>18.0</v>
      </c>
      <c r="H19" s="36">
        <v>0.75</v>
      </c>
      <c r="I19" s="34" t="s">
        <v>26</v>
      </c>
      <c r="J19" s="34">
        <v>0.5</v>
      </c>
      <c r="K19" s="35">
        <v>206.0</v>
      </c>
    </row>
    <row r="20" ht="14.25" customHeight="1">
      <c r="A20" s="26">
        <v>1.0</v>
      </c>
      <c r="B20" s="27" t="s">
        <v>34</v>
      </c>
      <c r="C20" s="5"/>
      <c r="D20" s="33" t="s">
        <v>31</v>
      </c>
      <c r="E20" s="29">
        <v>19.0</v>
      </c>
      <c r="F20" s="36">
        <v>0.4583333333333333</v>
      </c>
      <c r="G20" s="29">
        <v>19.0</v>
      </c>
      <c r="H20" s="36">
        <v>0.9583333333333334</v>
      </c>
      <c r="I20" s="29" t="s">
        <v>26</v>
      </c>
      <c r="J20" s="29">
        <v>0.5</v>
      </c>
      <c r="K20" s="31">
        <v>206.0</v>
      </c>
    </row>
    <row r="21" ht="14.25" customHeight="1">
      <c r="A21" s="26">
        <v>1.0</v>
      </c>
      <c r="B21" s="27" t="s">
        <v>35</v>
      </c>
      <c r="C21" s="5"/>
      <c r="D21" s="33" t="s">
        <v>31</v>
      </c>
      <c r="E21" s="29">
        <v>21.0</v>
      </c>
      <c r="F21" s="36">
        <v>0.4166666666666667</v>
      </c>
      <c r="G21" s="29">
        <v>21.0</v>
      </c>
      <c r="H21" s="36">
        <v>0.75</v>
      </c>
      <c r="I21" s="29" t="s">
        <v>26</v>
      </c>
      <c r="J21" s="29">
        <v>0.0</v>
      </c>
      <c r="K21" s="31">
        <v>206.0</v>
      </c>
    </row>
    <row r="22" ht="14.25" customHeight="1">
      <c r="A22" s="26">
        <v>1.0</v>
      </c>
      <c r="B22" s="27" t="s">
        <v>35</v>
      </c>
      <c r="C22" s="5"/>
      <c r="D22" s="33" t="s">
        <v>31</v>
      </c>
      <c r="E22" s="29">
        <v>22.0</v>
      </c>
      <c r="F22" s="36">
        <v>0.4166666666666667</v>
      </c>
      <c r="G22" s="29">
        <v>22.0</v>
      </c>
      <c r="H22" s="36">
        <v>0.75</v>
      </c>
      <c r="I22" s="29" t="s">
        <v>26</v>
      </c>
      <c r="J22" s="29">
        <v>0.0</v>
      </c>
      <c r="K22" s="31">
        <v>206.0</v>
      </c>
    </row>
    <row r="23" ht="14.25" customHeight="1">
      <c r="A23" s="26">
        <v>1.0</v>
      </c>
      <c r="B23" s="27" t="s">
        <v>36</v>
      </c>
      <c r="C23" s="5"/>
      <c r="D23" s="28" t="s">
        <v>37</v>
      </c>
      <c r="E23" s="29">
        <v>27.0</v>
      </c>
      <c r="F23" s="36">
        <v>0.4583333333333333</v>
      </c>
      <c r="G23" s="29">
        <v>27.0</v>
      </c>
      <c r="H23" s="36">
        <v>0.7916666666666666</v>
      </c>
      <c r="I23" s="29" t="s">
        <v>26</v>
      </c>
      <c r="J23" s="29">
        <v>0.0</v>
      </c>
      <c r="K23" s="31">
        <v>117.0</v>
      </c>
    </row>
    <row r="24" ht="14.25" customHeight="1">
      <c r="A24" s="26">
        <v>1.0</v>
      </c>
      <c r="B24" s="27" t="s">
        <v>36</v>
      </c>
      <c r="C24" s="5"/>
      <c r="D24" s="28" t="s">
        <v>37</v>
      </c>
      <c r="E24" s="29">
        <v>28.0</v>
      </c>
      <c r="F24" s="36">
        <v>0.5</v>
      </c>
      <c r="G24" s="29">
        <v>28.0</v>
      </c>
      <c r="H24" s="36">
        <v>0.8333333333333334</v>
      </c>
      <c r="I24" s="29" t="s">
        <v>26</v>
      </c>
      <c r="J24" s="29">
        <v>0.0</v>
      </c>
      <c r="K24" s="31">
        <v>117.0</v>
      </c>
    </row>
    <row r="25" ht="14.25" customHeight="1">
      <c r="A25" s="26">
        <v>1.0</v>
      </c>
      <c r="B25" s="27" t="s">
        <v>38</v>
      </c>
      <c r="C25" s="5"/>
      <c r="D25" s="33" t="s">
        <v>31</v>
      </c>
      <c r="E25" s="29">
        <v>30.0</v>
      </c>
      <c r="F25" s="36">
        <v>0.6458333333333334</v>
      </c>
      <c r="G25" s="29">
        <v>30.0</v>
      </c>
      <c r="H25" s="36">
        <v>0.9375</v>
      </c>
      <c r="I25" s="29" t="s">
        <v>26</v>
      </c>
      <c r="J25" s="29">
        <v>0.5</v>
      </c>
      <c r="K25" s="31">
        <v>206.0</v>
      </c>
    </row>
    <row r="26" ht="14.25" customHeight="1">
      <c r="A26" s="26">
        <v>1.0</v>
      </c>
      <c r="B26" s="27" t="s">
        <v>38</v>
      </c>
      <c r="C26" s="5"/>
      <c r="D26" s="33" t="s">
        <v>31</v>
      </c>
      <c r="E26" s="29">
        <v>31.0</v>
      </c>
      <c r="F26" s="36">
        <v>0.6458333333333334</v>
      </c>
      <c r="G26" s="29">
        <v>31.0</v>
      </c>
      <c r="H26" s="36">
        <v>0.9375</v>
      </c>
      <c r="I26" s="29" t="s">
        <v>26</v>
      </c>
      <c r="J26" s="29">
        <v>0.5</v>
      </c>
      <c r="K26" s="31">
        <v>206.0</v>
      </c>
    </row>
    <row r="27" ht="12.75" customHeight="1">
      <c r="A27" s="37"/>
      <c r="B27" s="38"/>
      <c r="C27" s="38"/>
      <c r="D27" s="39"/>
      <c r="E27" s="37"/>
      <c r="F27" s="37"/>
      <c r="G27" s="37"/>
      <c r="H27" s="37"/>
      <c r="I27" s="37"/>
      <c r="J27" s="37"/>
      <c r="K27" s="37"/>
    </row>
    <row r="28" ht="12.0" customHeight="1">
      <c r="C28" s="40" t="s">
        <v>39</v>
      </c>
      <c r="D28" s="41"/>
      <c r="E28" s="41"/>
      <c r="F28" s="41"/>
      <c r="G28" s="41"/>
      <c r="H28" s="41"/>
      <c r="I28" s="42"/>
      <c r="J28" s="42"/>
    </row>
    <row r="29" ht="12.0" customHeight="1">
      <c r="B29" s="7"/>
      <c r="C29" s="43" t="s">
        <v>40</v>
      </c>
      <c r="D29" s="44" t="s">
        <v>20</v>
      </c>
      <c r="E29" s="45" t="s">
        <v>41</v>
      </c>
      <c r="F29" s="5"/>
      <c r="G29" s="45" t="s">
        <v>42</v>
      </c>
      <c r="H29" s="5"/>
      <c r="I29" s="42"/>
      <c r="J29" s="42"/>
    </row>
    <row r="30" ht="12.0" customHeight="1">
      <c r="C30" s="46" t="s">
        <v>43</v>
      </c>
      <c r="D30" s="16">
        <f>SUMIF(I13:I26,"N",J13:J26)</f>
        <v>3.5</v>
      </c>
      <c r="E30" s="47">
        <f>+J6</f>
        <v>72.65</v>
      </c>
      <c r="F30" s="5"/>
      <c r="G30" s="47">
        <f t="shared" ref="G30:G31" si="1">+D30*E30</f>
        <v>254.275</v>
      </c>
      <c r="H30" s="5"/>
      <c r="I30" s="42"/>
      <c r="J30" s="42"/>
    </row>
    <row r="31" ht="12.0" customHeight="1">
      <c r="C31" s="16" t="s">
        <v>44</v>
      </c>
      <c r="D31" s="16">
        <f>SUMIF(I13:I26,"E",J13:J26)</f>
        <v>6</v>
      </c>
      <c r="E31" s="47">
        <v>167.07</v>
      </c>
      <c r="F31" s="5"/>
      <c r="G31" s="47">
        <f t="shared" si="1"/>
        <v>1002.42</v>
      </c>
      <c r="H31" s="5"/>
      <c r="I31" s="42"/>
      <c r="J31" s="42"/>
    </row>
    <row r="32" ht="12.0" customHeight="1">
      <c r="G32" s="48">
        <f>SUM(G30:H31)</f>
        <v>1256.695</v>
      </c>
      <c r="H32" s="5"/>
      <c r="I32" s="42"/>
      <c r="J32" s="42"/>
    </row>
    <row r="33" ht="12.0" customHeight="1">
      <c r="C33" s="40" t="s">
        <v>39</v>
      </c>
      <c r="D33" s="41"/>
      <c r="E33" s="41"/>
      <c r="F33" s="41"/>
      <c r="G33" s="41"/>
      <c r="H33" s="41"/>
      <c r="I33" s="42"/>
      <c r="J33" s="42"/>
    </row>
    <row r="34" ht="12.0" customHeight="1">
      <c r="C34" s="49" t="s">
        <v>45</v>
      </c>
      <c r="D34" s="44" t="s">
        <v>46</v>
      </c>
      <c r="E34" s="45" t="s">
        <v>47</v>
      </c>
      <c r="F34" s="5"/>
      <c r="G34" s="45" t="s">
        <v>42</v>
      </c>
      <c r="H34" s="5"/>
      <c r="I34" s="42"/>
      <c r="J34" s="42"/>
    </row>
    <row r="35" ht="12.0" customHeight="1">
      <c r="C35" s="22"/>
      <c r="D35" s="50">
        <f>SUM(K13:K26)</f>
        <v>2690</v>
      </c>
      <c r="E35" s="47">
        <v>0.4</v>
      </c>
      <c r="F35" s="5"/>
      <c r="G35" s="48">
        <f>+D35*E35</f>
        <v>1076</v>
      </c>
      <c r="H35" s="5"/>
      <c r="I35" s="51"/>
      <c r="J35" s="52"/>
    </row>
    <row r="36" ht="12.0" customHeight="1">
      <c r="I36" s="42"/>
      <c r="J36" s="42"/>
    </row>
    <row r="37" ht="12.0" customHeight="1">
      <c r="F37" s="7" t="s">
        <v>48</v>
      </c>
      <c r="G37" s="48">
        <v>0.0</v>
      </c>
      <c r="H37" s="5"/>
      <c r="I37" s="42"/>
      <c r="J37" s="42"/>
    </row>
    <row r="38" ht="5.25" customHeight="1">
      <c r="I38" s="42"/>
      <c r="J38" s="42"/>
    </row>
    <row r="39" ht="8.25" customHeight="1">
      <c r="I39" s="42"/>
      <c r="J39" s="42"/>
    </row>
    <row r="40" ht="12.0" customHeight="1">
      <c r="F40" s="53" t="s">
        <v>49</v>
      </c>
      <c r="G40" s="48">
        <f>+G32+G35+G37</f>
        <v>2332.695</v>
      </c>
      <c r="H40" s="5"/>
      <c r="I40" s="42"/>
      <c r="J40" s="42"/>
    </row>
    <row r="41" ht="12.0" customHeight="1"/>
    <row r="42" ht="12.0" customHeight="1"/>
    <row r="43" ht="12.0" customHeight="1"/>
    <row r="44" ht="1.5" customHeight="1"/>
    <row r="45" ht="12.0" customHeight="1">
      <c r="B45" s="12" t="s">
        <v>50</v>
      </c>
      <c r="C45" s="54" t="s">
        <v>51</v>
      </c>
      <c r="D45" s="4"/>
      <c r="E45" s="4"/>
      <c r="F45" s="4"/>
      <c r="G45" s="4"/>
      <c r="H45" s="4"/>
      <c r="I45" s="4"/>
      <c r="J45" s="5"/>
    </row>
    <row r="46" ht="8.25" customHeight="1"/>
    <row r="47" ht="12.0" customHeight="1">
      <c r="A47" s="9" t="s">
        <v>52</v>
      </c>
    </row>
    <row r="48" ht="12.0" customHeight="1"/>
    <row r="49" ht="12.0" customHeight="1">
      <c r="A49" s="9" t="s">
        <v>53</v>
      </c>
    </row>
    <row r="50" ht="18.0" customHeight="1">
      <c r="A50" s="9" t="s">
        <v>54</v>
      </c>
    </row>
    <row r="51" ht="6.0" customHeight="1"/>
    <row r="52" ht="44.25" customHeight="1">
      <c r="A52" s="9"/>
      <c r="B52" s="9"/>
      <c r="C52" s="9"/>
      <c r="D52" s="9"/>
      <c r="E52" s="9"/>
      <c r="F52" s="9"/>
      <c r="G52" s="9"/>
      <c r="H52" s="9"/>
      <c r="I52" s="9"/>
      <c r="J52" s="9"/>
    </row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  <row r="1001" ht="12.0" customHeight="1"/>
  </sheetData>
  <mergeCells count="47">
    <mergeCell ref="B24:C24"/>
    <mergeCell ref="B25:C25"/>
    <mergeCell ref="B18:C18"/>
    <mergeCell ref="B21:C21"/>
    <mergeCell ref="B26:C26"/>
    <mergeCell ref="B19:C19"/>
    <mergeCell ref="B20:C20"/>
    <mergeCell ref="B22:C22"/>
    <mergeCell ref="B23:C23"/>
    <mergeCell ref="E10:F10"/>
    <mergeCell ref="G10:H10"/>
    <mergeCell ref="I10:I11"/>
    <mergeCell ref="J10:J11"/>
    <mergeCell ref="A1:K1"/>
    <mergeCell ref="C3:K3"/>
    <mergeCell ref="B5:C5"/>
    <mergeCell ref="E5:F5"/>
    <mergeCell ref="A10:A11"/>
    <mergeCell ref="D10:D11"/>
    <mergeCell ref="K10:K11"/>
    <mergeCell ref="B10:C11"/>
    <mergeCell ref="B13:C13"/>
    <mergeCell ref="B14:C14"/>
    <mergeCell ref="B17:C17"/>
    <mergeCell ref="B15:C15"/>
    <mergeCell ref="B16:C16"/>
    <mergeCell ref="B12:C12"/>
    <mergeCell ref="C28:H28"/>
    <mergeCell ref="E29:F29"/>
    <mergeCell ref="G29:H29"/>
    <mergeCell ref="E30:F30"/>
    <mergeCell ref="G30:H30"/>
    <mergeCell ref="E31:F31"/>
    <mergeCell ref="G31:H31"/>
    <mergeCell ref="G37:H37"/>
    <mergeCell ref="G40:H40"/>
    <mergeCell ref="C45:J45"/>
    <mergeCell ref="A47:J47"/>
    <mergeCell ref="A49:J49"/>
    <mergeCell ref="A50:J50"/>
    <mergeCell ref="G32:H32"/>
    <mergeCell ref="C33:H33"/>
    <mergeCell ref="C34:C35"/>
    <mergeCell ref="E34:F34"/>
    <mergeCell ref="G34:H34"/>
    <mergeCell ref="E35:F35"/>
    <mergeCell ref="G35:H35"/>
  </mergeCells>
  <conditionalFormatting sqref="A12:A26">
    <cfRule type="expression" dxfId="0" priority="1" stopIfTrue="1">
      <formula>WEEKDAY(DATE($B$8,SWITCH2($B$7="Janeiro",1,$B$7="Fevereiro",2,$B$7="Março",3,$B$7="Abril",4,$B$7="Maio",5,$B$7="Junho",6,$B$7="Julho",7,$B$7="Agosto",8,$B$7="Setembro",9,$B$7="Outubro",10,$B$7="Novembro",11,$B$7="Dezembro",12),$A12),2)&gt;5</formula>
    </cfRule>
  </conditionalFormatting>
  <conditionalFormatting sqref="A18:A26">
    <cfRule type="expression" dxfId="0" priority="2" stopIfTrue="1">
      <formula>WEEKDAY(DATE($B$8,SWITCH2($B$7="Janeiro",1,$B$7="Fevereiro",2,$B$7="Março",3,$B$7="Abril",4,$B$7="Maio",5,$B$7="Junho",6,$B$7="Julho",7,$B$7="Agosto",8,$B$7="Setembro",9,$B$7="Outubro",10,$B$7="Novembro",11,$B$7="Dezembro",12),$A18),2)&gt;5</formula>
    </cfRule>
  </conditionalFormatting>
  <dataValidations>
    <dataValidation type="list" allowBlank="1" showErrorMessage="1" sqref="B7">
      <formula1>"Janeiro,Fevereiro,Março,Abril,Maio,Junho,Julho,Agosto,Setembro,Outubro,Novembro,Dezembro"</formula1>
    </dataValidation>
  </dataValidations>
  <printOptions/>
  <pageMargins bottom="0.3937007874015748" footer="0.0" header="0.0" left="0.15748031496062992" right="0.15748031496062992" top="0.3937007874015748"/>
  <pageSetup paperSize="9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2003-04-30T15:08:15Z</dcterms:created>
  <dc:creator>Histoconta</dc:creator>
</cp:coreProperties>
</file>